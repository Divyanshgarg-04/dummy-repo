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0543019\Desktop\Area_Dashboard\dummy-repo-main\public\"/>
    </mc:Choice>
  </mc:AlternateContent>
  <xr:revisionPtr revIDLastSave="0" documentId="13_ncr:1_{9D264698-4B58-449F-B9B1-7F107CF43D66}" xr6:coauthVersionLast="36" xr6:coauthVersionMax="47" xr10:uidLastSave="{00000000-0000-0000-0000-000000000000}"/>
  <bookViews>
    <workbookView xWindow="0" yWindow="0" windowWidth="19200" windowHeight="8010" xr2:uid="{C7AE15DC-0BCC-4D6E-A6F2-9FC238FFB75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1" l="1"/>
  <c r="D31" i="1"/>
  <c r="D33" i="1"/>
  <c r="D34" i="1"/>
  <c r="D32" i="1"/>
  <c r="D8" i="1"/>
  <c r="D35" i="1" l="1"/>
  <c r="D28" i="1" l="1"/>
  <c r="H44" i="1" l="1"/>
  <c r="D29" i="1"/>
</calcChain>
</file>

<file path=xl/sharedStrings.xml><?xml version="1.0" encoding="utf-8"?>
<sst xmlns="http://schemas.openxmlformats.org/spreadsheetml/2006/main" count="41" uniqueCount="38">
  <si>
    <t>PnR Overheads</t>
  </si>
  <si>
    <t>S.No</t>
  </si>
  <si>
    <t>Parameters</t>
  </si>
  <si>
    <t>Value</t>
  </si>
  <si>
    <t>Placement Blowup</t>
  </si>
  <si>
    <t>Core height Limit</t>
  </si>
  <si>
    <t>HFN overhead</t>
  </si>
  <si>
    <t>Scribe Seal</t>
  </si>
  <si>
    <t>CTS overhead</t>
  </si>
  <si>
    <t>Scribe Street - X</t>
  </si>
  <si>
    <t>Hold buffering overhead</t>
  </si>
  <si>
    <t>Scribe Street - Y</t>
  </si>
  <si>
    <t>Total PnR Overhead</t>
  </si>
  <si>
    <t>Floorplan Overhead</t>
  </si>
  <si>
    <t>Analog Height</t>
  </si>
  <si>
    <t>um</t>
  </si>
  <si>
    <t>Power switches</t>
  </si>
  <si>
    <t>Analog Width</t>
  </si>
  <si>
    <t>Power switches at subchip</t>
  </si>
  <si>
    <t>2% in 25xx</t>
  </si>
  <si>
    <t>PD overhead for memory</t>
  </si>
  <si>
    <t>PD overhead for Small hard marco</t>
  </si>
  <si>
    <t>PD overhead for Large hard macro</t>
  </si>
  <si>
    <t>Utilization target for Sub-chip</t>
  </si>
  <si>
    <t>Utilization target for IP Subsystem at Top level</t>
  </si>
  <si>
    <t>Utilization target for Top-level logic</t>
  </si>
  <si>
    <t>IO Height</t>
  </si>
  <si>
    <t>PG core Ring width</t>
  </si>
  <si>
    <t>TOP utilization because of analog</t>
  </si>
  <si>
    <t>AREA W/O SCRIBE OFF</t>
  </si>
  <si>
    <t>FINAL AREA OFF BY</t>
  </si>
  <si>
    <t>RSS OFF BY</t>
  </si>
  <si>
    <t>TOP OFF BY</t>
  </si>
  <si>
    <t>ANALOG OFF BY</t>
  </si>
  <si>
    <t>Floorplan overhead + top level buffering</t>
  </si>
  <si>
    <t xml:space="preserve">IO region area </t>
  </si>
  <si>
    <t xml:space="preserve">total off </t>
  </si>
  <si>
    <t>remaining are from scribe seal and stree calculations.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</si>
</sst>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%"/>
    <numFmt numFmtId="166" formatCode="0.000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0"/>
      <color rgb="FF000000"/>
      <name val="Calibri"/>
      <family val="2"/>
    </font>
    <font>
      <i/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1FF74"/>
        <bgColor indexed="64"/>
      </patternFill>
    </fill>
    <fill>
      <patternFill patternType="solid">
        <fgColor rgb="FF2FC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vertical="center" wrapText="1"/>
    </xf>
    <xf numFmtId="165" fontId="0" fillId="3" borderId="6" xfId="0" applyNumberForma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vertical="center"/>
    </xf>
    <xf numFmtId="16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left" vertical="center"/>
    </xf>
    <xf numFmtId="10" fontId="0" fillId="0" borderId="0" xfId="0" applyNumberFormat="1" applyAlignment="1">
      <alignment vertical="center"/>
    </xf>
    <xf numFmtId="164" fontId="8" fillId="0" borderId="0" xfId="0" applyNumberFormat="1" applyFont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vertical="center" wrapText="1"/>
    </xf>
    <xf numFmtId="165" fontId="0" fillId="5" borderId="6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6" borderId="6" xfId="0" applyFont="1" applyFill="1" applyBorder="1" applyAlignment="1">
      <alignment horizontal="right" vertical="center"/>
    </xf>
    <xf numFmtId="164" fontId="4" fillId="0" borderId="6" xfId="0" applyNumberFormat="1" applyFont="1" applyBorder="1" applyAlignment="1">
      <alignment horizontal="left" vertical="center"/>
    </xf>
    <xf numFmtId="165" fontId="9" fillId="3" borderId="6" xfId="0" applyNumberFormat="1" applyFont="1" applyFill="1" applyBorder="1" applyAlignment="1">
      <alignment horizontal="center" vertical="center"/>
    </xf>
    <xf numFmtId="164" fontId="8" fillId="0" borderId="6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64" fontId="8" fillId="0" borderId="0" xfId="0" applyNumberFormat="1" applyFont="1" applyAlignment="1">
      <alignment vertical="center"/>
    </xf>
    <xf numFmtId="9" fontId="0" fillId="5" borderId="6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vertical="center" wrapText="1"/>
    </xf>
    <xf numFmtId="9" fontId="0" fillId="7" borderId="6" xfId="0" applyNumberForma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vertical="center" wrapText="1"/>
    </xf>
    <xf numFmtId="165" fontId="0" fillId="8" borderId="6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vertical="center" wrapText="1"/>
    </xf>
    <xf numFmtId="9" fontId="0" fillId="9" borderId="6" xfId="0" applyNumberForma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vertical="center" wrapText="1"/>
    </xf>
    <xf numFmtId="0" fontId="0" fillId="10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0" fillId="8" borderId="6" xfId="0" applyFill="1" applyBorder="1" applyAlignment="1">
      <alignment horizontal="center" vertical="center"/>
    </xf>
    <xf numFmtId="0" fontId="0" fillId="8" borderId="6" xfId="0" applyFill="1" applyBorder="1" applyAlignment="1">
      <alignment vertical="center" wrapText="1"/>
    </xf>
    <xf numFmtId="1" fontId="0" fillId="8" borderId="6" xfId="0" applyNumberForma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164" fontId="10" fillId="0" borderId="0" xfId="0" applyNumberFormat="1" applyFont="1" applyAlignment="1">
      <alignment vertical="center" wrapText="1"/>
    </xf>
    <xf numFmtId="0" fontId="0" fillId="9" borderId="6" xfId="0" applyFill="1" applyBorder="1" applyAlignment="1">
      <alignment horizontal="center" vertical="center"/>
    </xf>
    <xf numFmtId="0" fontId="0" fillId="9" borderId="6" xfId="0" applyFill="1" applyBorder="1" applyAlignment="1">
      <alignment vertical="center" wrapText="1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1" fillId="0" borderId="0" xfId="0" applyFont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vertical="center"/>
    </xf>
    <xf numFmtId="2" fontId="7" fillId="0" borderId="0" xfId="0" applyNumberFormat="1" applyFont="1" applyAlignment="1">
      <alignment horizontal="right" vertical="center"/>
    </xf>
    <xf numFmtId="2" fontId="9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64" fontId="14" fillId="0" borderId="0" xfId="0" applyNumberFormat="1" applyFont="1" applyAlignment="1">
      <alignment vertical="center"/>
    </xf>
    <xf numFmtId="1" fontId="14" fillId="0" borderId="0" xfId="0" applyNumberFormat="1" applyFont="1" applyAlignment="1">
      <alignment vertical="center"/>
    </xf>
    <xf numFmtId="2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0" fillId="0" borderId="0" xfId="0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0" fontId="0" fillId="5" borderId="6" xfId="0" applyFill="1" applyBorder="1" applyAlignment="1">
      <alignment vertical="center"/>
    </xf>
    <xf numFmtId="2" fontId="0" fillId="5" borderId="6" xfId="0" applyNumberFormat="1" applyFill="1" applyBorder="1" applyAlignment="1">
      <alignment vertical="center"/>
    </xf>
    <xf numFmtId="0" fontId="0" fillId="5" borderId="9" xfId="0" applyFill="1" applyBorder="1" applyAlignment="1">
      <alignment vertical="center"/>
    </xf>
    <xf numFmtId="2" fontId="0" fillId="5" borderId="10" xfId="0" applyNumberFormat="1" applyFill="1" applyBorder="1" applyAlignment="1">
      <alignment vertical="center"/>
    </xf>
    <xf numFmtId="0" fontId="0" fillId="0" borderId="11" xfId="0" applyBorder="1" applyAlignment="1">
      <alignment vertical="center"/>
    </xf>
    <xf numFmtId="2" fontId="0" fillId="0" borderId="11" xfId="0" applyNumberFormat="1" applyBorder="1" applyAlignment="1">
      <alignment vertical="center"/>
    </xf>
    <xf numFmtId="2" fontId="0" fillId="0" borderId="6" xfId="0" applyNumberFormat="1" applyBorder="1" applyAlignment="1">
      <alignment vertical="center"/>
    </xf>
    <xf numFmtId="0" fontId="2" fillId="0" borderId="6" xfId="0" applyFont="1" applyBorder="1" applyAlignment="1">
      <alignment vertical="center"/>
    </xf>
    <xf numFmtId="2" fontId="2" fillId="0" borderId="6" xfId="0" applyNumberFormat="1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8">
          <cell r="C8">
            <v>7.31</v>
          </cell>
          <cell r="F8">
            <v>6.4164999999999992</v>
          </cell>
        </row>
        <row r="9">
          <cell r="C9">
            <v>3.393424357142858</v>
          </cell>
          <cell r="F9">
            <v>5.0557547500000002</v>
          </cell>
        </row>
        <row r="10">
          <cell r="C10">
            <v>1.8359000000000003</v>
          </cell>
          <cell r="F10">
            <v>1.6037571000000002</v>
          </cell>
        </row>
        <row r="11">
          <cell r="C11">
            <v>1.6107294000000001</v>
          </cell>
          <cell r="F11">
            <v>1.6783841999999998</v>
          </cell>
        </row>
        <row r="12">
          <cell r="C12">
            <v>24.395</v>
          </cell>
          <cell r="F12">
            <v>24.538499999999999</v>
          </cell>
        </row>
        <row r="14">
          <cell r="C14">
            <v>0.42</v>
          </cell>
          <cell r="F14">
            <v>0.15</v>
          </cell>
        </row>
        <row r="15">
          <cell r="C15">
            <v>0</v>
          </cell>
          <cell r="F15">
            <v>0</v>
          </cell>
        </row>
        <row r="18">
          <cell r="C18">
            <v>1.36</v>
          </cell>
          <cell r="F18">
            <v>1.1041380000000001</v>
          </cell>
        </row>
        <row r="20">
          <cell r="C20">
            <v>40.325053757142861</v>
          </cell>
          <cell r="F20">
            <v>40.547034049999993</v>
          </cell>
        </row>
        <row r="23">
          <cell r="C23">
            <v>42.375053757142858</v>
          </cell>
          <cell r="F23">
            <v>42.615882749646346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A984-5C9B-41AC-8CD2-9FACB190DB2B}">
  <dimension ref="B2:Q51"/>
  <sheetViews>
    <sheetView tabSelected="1" zoomScale="55" zoomScaleNormal="55" workbookViewId="0">
      <selection activeCell="I21" sqref="I21"/>
    </sheetView>
  </sheetViews>
  <sheetFormatPr defaultColWidth="8.81640625" defaultRowHeight="14.5" x14ac:dyDescent="0.35"/>
  <cols>
    <col min="1" max="1" width="3.453125" style="1" customWidth="1"/>
    <col min="2" max="2" width="6.453125" style="1" customWidth="1"/>
    <col min="3" max="3" width="46.26953125" style="1" customWidth="1"/>
    <col min="4" max="4" width="31" style="1" bestFit="1" customWidth="1"/>
    <col min="5" max="5" width="19.1796875" style="1" customWidth="1"/>
    <col min="6" max="7" width="19.81640625" style="1" customWidth="1"/>
    <col min="8" max="8" width="19.81640625" style="1" hidden="1" customWidth="1"/>
    <col min="9" max="9" width="19.453125" style="1" bestFit="1" customWidth="1"/>
    <col min="10" max="10" width="30.54296875" style="1" customWidth="1"/>
    <col min="11" max="11" width="18.453125" style="1" bestFit="1" customWidth="1"/>
    <col min="12" max="12" width="13.453125" style="1" customWidth="1"/>
    <col min="13" max="13" width="13.453125" style="2" customWidth="1"/>
    <col min="14" max="14" width="7.81640625" style="1" customWidth="1"/>
    <col min="15" max="15" width="15.54296875" style="1" bestFit="1" customWidth="1"/>
    <col min="16" max="16" width="13.453125" style="1" customWidth="1"/>
    <col min="17" max="17" width="15.1796875" style="1" bestFit="1" customWidth="1"/>
    <col min="18" max="18" width="15.26953125" style="1" customWidth="1"/>
    <col min="19" max="19" width="14.81640625" style="1" customWidth="1"/>
    <col min="20" max="21" width="12.1796875" style="1" customWidth="1"/>
    <col min="22" max="23" width="27.453125" style="1" customWidth="1"/>
    <col min="24" max="24" width="32.81640625" style="1" customWidth="1"/>
    <col min="25" max="25" width="16.1796875" style="1" customWidth="1"/>
    <col min="26" max="26" width="15.453125" style="1" customWidth="1"/>
    <col min="27" max="27" width="5.453125" style="1" customWidth="1"/>
    <col min="28" max="28" width="8.81640625" style="1"/>
    <col min="29" max="29" width="58.81640625" style="1" customWidth="1"/>
    <col min="30" max="16384" width="8.81640625" style="1"/>
  </cols>
  <sheetData>
    <row r="2" spans="2:17" ht="19" thickBot="1" x14ac:dyDescent="0.4">
      <c r="B2" s="82" t="s">
        <v>0</v>
      </c>
      <c r="C2" s="82"/>
    </row>
    <row r="3" spans="2:17" ht="15" thickBot="1" x14ac:dyDescent="0.4">
      <c r="B3" s="3" t="s">
        <v>1</v>
      </c>
      <c r="C3" s="4" t="s">
        <v>2</v>
      </c>
      <c r="D3" s="5" t="s">
        <v>3</v>
      </c>
    </row>
    <row r="4" spans="2:17" x14ac:dyDescent="0.35">
      <c r="B4" s="6">
        <v>1</v>
      </c>
      <c r="C4" s="7" t="s">
        <v>4</v>
      </c>
      <c r="D4" s="8">
        <v>0.11</v>
      </c>
      <c r="Q4" s="12"/>
    </row>
    <row r="5" spans="2:17" x14ac:dyDescent="0.35">
      <c r="B5" s="6">
        <v>2</v>
      </c>
      <c r="C5" s="7" t="s">
        <v>6</v>
      </c>
      <c r="D5" s="8">
        <v>1.4999999999999999E-2</v>
      </c>
      <c r="Q5" s="12"/>
    </row>
    <row r="6" spans="2:17" x14ac:dyDescent="0.35">
      <c r="B6" s="6">
        <v>3</v>
      </c>
      <c r="C6" s="7" t="s">
        <v>8</v>
      </c>
      <c r="D6" s="8">
        <v>2.5000000000000001E-2</v>
      </c>
      <c r="Q6" s="12"/>
    </row>
    <row r="7" spans="2:17" x14ac:dyDescent="0.35">
      <c r="B7" s="6">
        <v>4</v>
      </c>
      <c r="C7" s="7" t="s">
        <v>10</v>
      </c>
      <c r="D7" s="8">
        <v>2.5000000000000001E-2</v>
      </c>
      <c r="E7" s="15"/>
      <c r="Q7" s="12"/>
    </row>
    <row r="8" spans="2:17" x14ac:dyDescent="0.35">
      <c r="B8" s="17">
        <v>5</v>
      </c>
      <c r="C8" s="18" t="s">
        <v>12</v>
      </c>
      <c r="D8" s="19">
        <f>SUM(D4:D7)</f>
        <v>0.17499999999999999</v>
      </c>
      <c r="E8" s="15"/>
      <c r="O8" s="20"/>
      <c r="P8" s="20"/>
      <c r="Q8" s="22"/>
    </row>
    <row r="9" spans="2:17" x14ac:dyDescent="0.35">
      <c r="B9" s="17">
        <v>6</v>
      </c>
      <c r="C9" s="18" t="s">
        <v>13</v>
      </c>
      <c r="D9" s="23">
        <v>0</v>
      </c>
      <c r="E9" s="15"/>
      <c r="O9" s="20"/>
      <c r="P9" s="20"/>
      <c r="Q9" s="22"/>
    </row>
    <row r="10" spans="2:17" x14ac:dyDescent="0.35">
      <c r="B10" s="6">
        <v>7</v>
      </c>
      <c r="C10" s="7" t="s">
        <v>16</v>
      </c>
      <c r="D10" s="27">
        <v>0</v>
      </c>
      <c r="O10" s="29"/>
      <c r="P10" s="29"/>
      <c r="Q10" s="30"/>
    </row>
    <row r="11" spans="2:17" x14ac:dyDescent="0.35">
      <c r="B11" s="6">
        <v>8</v>
      </c>
      <c r="C11" s="7" t="s">
        <v>18</v>
      </c>
      <c r="D11" s="27">
        <v>0.02</v>
      </c>
      <c r="E11" s="31" t="s">
        <v>19</v>
      </c>
      <c r="K11" s="29"/>
      <c r="L11" s="29"/>
      <c r="M11" s="32"/>
      <c r="N11" s="29"/>
      <c r="O11" s="29"/>
      <c r="P11" s="29"/>
      <c r="Q11" s="30"/>
    </row>
    <row r="12" spans="2:17" x14ac:dyDescent="0.35">
      <c r="B12" s="17">
        <v>9</v>
      </c>
      <c r="C12" s="18" t="s">
        <v>20</v>
      </c>
      <c r="D12" s="33">
        <v>0.1</v>
      </c>
      <c r="K12" s="29"/>
      <c r="L12" s="29"/>
      <c r="M12" s="32"/>
      <c r="N12" s="29"/>
      <c r="O12" s="29"/>
      <c r="P12" s="29"/>
      <c r="Q12" s="30"/>
    </row>
    <row r="13" spans="2:17" x14ac:dyDescent="0.35">
      <c r="B13" s="34">
        <v>10</v>
      </c>
      <c r="C13" s="35" t="s">
        <v>21</v>
      </c>
      <c r="D13" s="36">
        <v>0.05</v>
      </c>
      <c r="K13" s="29"/>
      <c r="L13" s="29"/>
      <c r="M13" s="32"/>
      <c r="N13" s="29"/>
      <c r="O13" s="29"/>
      <c r="P13" s="29"/>
      <c r="Q13" s="30"/>
    </row>
    <row r="14" spans="2:17" x14ac:dyDescent="0.35">
      <c r="B14" s="37">
        <v>11</v>
      </c>
      <c r="C14" s="38" t="s">
        <v>22</v>
      </c>
      <c r="D14" s="39">
        <v>2.5000000000000001E-2</v>
      </c>
      <c r="M14" s="1"/>
    </row>
    <row r="15" spans="2:17" x14ac:dyDescent="0.35">
      <c r="B15" s="40">
        <v>12</v>
      </c>
      <c r="C15" s="41" t="s">
        <v>23</v>
      </c>
      <c r="D15" s="42">
        <v>0.7</v>
      </c>
      <c r="M15" s="1"/>
    </row>
    <row r="16" spans="2:17" x14ac:dyDescent="0.35">
      <c r="B16" s="43">
        <v>13</v>
      </c>
      <c r="C16" s="44" t="s">
        <v>24</v>
      </c>
      <c r="D16" s="42">
        <v>0.62</v>
      </c>
      <c r="E16" s="45"/>
      <c r="M16" s="1"/>
    </row>
    <row r="17" spans="2:17" x14ac:dyDescent="0.35">
      <c r="B17" s="43">
        <v>14</v>
      </c>
      <c r="C17" s="44" t="s">
        <v>25</v>
      </c>
      <c r="D17" s="42">
        <v>0.5</v>
      </c>
      <c r="E17" s="46"/>
      <c r="M17" s="1"/>
    </row>
    <row r="18" spans="2:17" x14ac:dyDescent="0.35">
      <c r="B18" s="47">
        <v>15</v>
      </c>
      <c r="C18" s="48" t="s">
        <v>26</v>
      </c>
      <c r="D18" s="49">
        <v>180</v>
      </c>
      <c r="E18" s="1" t="s">
        <v>15</v>
      </c>
      <c r="K18" s="50"/>
      <c r="L18" s="50"/>
      <c r="M18" s="51"/>
      <c r="N18" s="50"/>
      <c r="O18" s="50"/>
      <c r="P18" s="50"/>
      <c r="Q18" s="30"/>
    </row>
    <row r="19" spans="2:17" x14ac:dyDescent="0.35">
      <c r="B19" s="47">
        <v>16</v>
      </c>
      <c r="C19" s="48" t="s">
        <v>27</v>
      </c>
      <c r="D19" s="49">
        <v>20</v>
      </c>
      <c r="E19" s="1" t="s">
        <v>15</v>
      </c>
      <c r="K19" s="50"/>
      <c r="L19" s="50"/>
      <c r="M19" s="51"/>
      <c r="N19" s="50"/>
      <c r="O19" s="50"/>
      <c r="P19" s="50"/>
      <c r="Q19" s="30"/>
    </row>
    <row r="20" spans="2:17" x14ac:dyDescent="0.35">
      <c r="B20" s="52">
        <v>17</v>
      </c>
      <c r="C20" s="53" t="s">
        <v>28</v>
      </c>
      <c r="D20" s="42">
        <v>0.4</v>
      </c>
      <c r="K20" s="50"/>
      <c r="L20" s="50"/>
      <c r="M20" s="51"/>
      <c r="N20" s="50"/>
      <c r="O20" s="50"/>
      <c r="P20" s="50"/>
      <c r="Q20" s="30"/>
    </row>
    <row r="21" spans="2:17" x14ac:dyDescent="0.35">
      <c r="B21" s="54"/>
      <c r="C21" s="55"/>
      <c r="D21" s="56"/>
      <c r="K21" s="50"/>
      <c r="L21" s="50"/>
      <c r="M21" s="51"/>
      <c r="N21" s="50"/>
      <c r="O21" s="50"/>
      <c r="P21" s="50"/>
      <c r="Q21" s="30"/>
    </row>
    <row r="22" spans="2:17" x14ac:dyDescent="0.35">
      <c r="K22" s="12"/>
      <c r="L22" s="57"/>
      <c r="N22" s="29"/>
      <c r="O22" s="29"/>
      <c r="P22" s="29"/>
      <c r="Q22" s="30"/>
    </row>
    <row r="23" spans="2:17" ht="14.9" customHeight="1" x14ac:dyDescent="0.35">
      <c r="K23" s="58"/>
      <c r="L23" s="83"/>
      <c r="M23" s="83"/>
      <c r="N23" s="83"/>
      <c r="O23" s="83"/>
      <c r="P23" s="83"/>
      <c r="Q23" s="83"/>
    </row>
    <row r="24" spans="2:17" ht="16.5" customHeight="1" x14ac:dyDescent="0.35">
      <c r="K24" s="58"/>
      <c r="L24" s="84"/>
      <c r="M24" s="86"/>
      <c r="N24" s="84"/>
      <c r="O24" s="84"/>
    </row>
    <row r="25" spans="2:17" ht="14.9" customHeight="1" x14ac:dyDescent="0.35">
      <c r="K25" s="58"/>
      <c r="L25" s="85"/>
      <c r="M25" s="87"/>
      <c r="N25" s="85"/>
      <c r="O25" s="85"/>
    </row>
    <row r="26" spans="2:17" x14ac:dyDescent="0.35">
      <c r="K26" s="2"/>
      <c r="L26" s="61"/>
      <c r="M26" s="57"/>
      <c r="N26" s="60"/>
      <c r="O26" s="61"/>
      <c r="P26" s="12"/>
    </row>
    <row r="27" spans="2:17" x14ac:dyDescent="0.35">
      <c r="K27" s="2"/>
      <c r="L27" s="61"/>
      <c r="M27" s="57"/>
      <c r="N27" s="60"/>
      <c r="O27" s="61"/>
      <c r="P27" s="12"/>
    </row>
    <row r="28" spans="2:17" x14ac:dyDescent="0.35">
      <c r="C28" s="73" t="s">
        <v>29</v>
      </c>
      <c r="D28" s="74">
        <f>[1]Sheet1!F20-[1]Sheet1!C20</f>
        <v>0.22198029285713261</v>
      </c>
      <c r="K28" s="2"/>
      <c r="L28" s="61"/>
      <c r="M28" s="57"/>
      <c r="N28" s="60"/>
      <c r="O28" s="61"/>
      <c r="P28" s="12"/>
    </row>
    <row r="29" spans="2:17" ht="14.9" customHeight="1" thickBot="1" x14ac:dyDescent="0.4">
      <c r="C29" s="75" t="s">
        <v>30</v>
      </c>
      <c r="D29" s="76">
        <f>[1]Sheet1!F23-[1]Sheet1!C23</f>
        <v>0.24082899250348788</v>
      </c>
      <c r="K29" s="2"/>
      <c r="L29" s="61"/>
      <c r="M29" s="57"/>
      <c r="N29" s="60"/>
      <c r="O29" s="62"/>
      <c r="P29" s="12"/>
    </row>
    <row r="30" spans="2:17" ht="14.9" customHeight="1" x14ac:dyDescent="0.35">
      <c r="C30" s="77" t="s">
        <v>31</v>
      </c>
      <c r="D30" s="78">
        <f>[1]Sheet1!F8-[1]Sheet1!C8</f>
        <v>-0.89350000000000041</v>
      </c>
      <c r="K30" s="2"/>
      <c r="L30" s="61"/>
      <c r="M30" s="57"/>
      <c r="N30" s="60"/>
      <c r="O30" s="62"/>
      <c r="P30" s="12"/>
    </row>
    <row r="31" spans="2:17" ht="14.9" customHeight="1" x14ac:dyDescent="0.35">
      <c r="C31" s="59" t="s">
        <v>32</v>
      </c>
      <c r="D31" s="79">
        <f>SUM([1]Sheet1!F9:F11) - SUM([1]Sheet1!C9:C11)</f>
        <v>1.4978422928571407</v>
      </c>
      <c r="K31" s="2"/>
      <c r="L31" s="61"/>
      <c r="M31" s="57"/>
      <c r="N31" s="60"/>
      <c r="O31" s="62"/>
      <c r="P31" s="12"/>
    </row>
    <row r="32" spans="2:17" x14ac:dyDescent="0.35">
      <c r="C32" s="59" t="s">
        <v>33</v>
      </c>
      <c r="D32" s="79">
        <f>[1]Sheet1!F12-[1]Sheet1!C12</f>
        <v>0.14349999999999952</v>
      </c>
      <c r="K32" s="2"/>
      <c r="L32" s="61"/>
      <c r="M32" s="63"/>
      <c r="N32" s="60"/>
      <c r="O32" s="62"/>
      <c r="P32" s="12"/>
    </row>
    <row r="33" spans="3:17" x14ac:dyDescent="0.35">
      <c r="C33" s="59" t="s">
        <v>34</v>
      </c>
      <c r="D33" s="79">
        <f>SUM([1]Sheet1!F14:F15)-SUM([1]Sheet1!C14:C15)</f>
        <v>-0.27</v>
      </c>
      <c r="K33" s="2"/>
      <c r="L33" s="61"/>
      <c r="M33" s="63"/>
      <c r="N33" s="60"/>
      <c r="O33" s="62"/>
      <c r="P33" s="12"/>
    </row>
    <row r="34" spans="3:17" x14ac:dyDescent="0.35">
      <c r="C34" s="59" t="s">
        <v>35</v>
      </c>
      <c r="D34" s="79">
        <f>[1]Sheet1!F18-[1]Sheet1!C18</f>
        <v>-0.25586200000000003</v>
      </c>
      <c r="K34" s="2"/>
      <c r="L34" s="61"/>
      <c r="M34" s="63"/>
      <c r="N34" s="60"/>
      <c r="O34" s="62"/>
      <c r="P34" s="12"/>
    </row>
    <row r="35" spans="3:17" x14ac:dyDescent="0.35">
      <c r="C35" s="80" t="s">
        <v>36</v>
      </c>
      <c r="D35" s="81">
        <f>SUM(D30:D34)</f>
        <v>0.22198029285713972</v>
      </c>
      <c r="K35" s="2"/>
      <c r="L35" s="61"/>
      <c r="M35" s="64"/>
      <c r="N35" s="61"/>
      <c r="O35" s="61"/>
      <c r="P35" s="12"/>
    </row>
    <row r="36" spans="3:17" ht="12.75" customHeight="1" x14ac:dyDescent="0.35">
      <c r="C36" s="1" t="s">
        <v>37</v>
      </c>
      <c r="K36" s="2"/>
      <c r="L36" s="61"/>
      <c r="M36" s="63"/>
      <c r="N36" s="61"/>
      <c r="O36" s="61"/>
      <c r="P36" s="65"/>
    </row>
    <row r="37" spans="3:17" ht="12.75" customHeight="1" x14ac:dyDescent="0.35">
      <c r="K37" s="2"/>
      <c r="L37" s="61"/>
      <c r="M37" s="63"/>
      <c r="N37" s="66"/>
      <c r="O37" s="65"/>
      <c r="P37" s="65"/>
    </row>
    <row r="38" spans="3:17" x14ac:dyDescent="0.35">
      <c r="K38" s="2"/>
      <c r="L38" s="61"/>
      <c r="M38" s="57"/>
      <c r="N38" s="61"/>
      <c r="O38" s="61"/>
      <c r="P38" s="65"/>
      <c r="Q38" s="65"/>
    </row>
    <row r="39" spans="3:17" x14ac:dyDescent="0.35">
      <c r="K39" s="2"/>
      <c r="L39" s="61"/>
      <c r="M39" s="57"/>
      <c r="N39" s="61"/>
      <c r="O39" s="61"/>
      <c r="P39" s="65"/>
    </row>
    <row r="40" spans="3:17" x14ac:dyDescent="0.35">
      <c r="K40" s="2"/>
      <c r="L40" s="61"/>
      <c r="M40" s="57"/>
      <c r="N40" s="61"/>
      <c r="O40" s="61"/>
    </row>
    <row r="41" spans="3:17" ht="15.5" x14ac:dyDescent="0.35">
      <c r="K41" s="67"/>
      <c r="L41" s="68"/>
      <c r="M41" s="69"/>
      <c r="N41" s="70"/>
      <c r="Q41" s="71"/>
    </row>
    <row r="42" spans="3:17" ht="15.5" x14ac:dyDescent="0.35">
      <c r="H42" s="57"/>
      <c r="J42" s="72"/>
      <c r="K42" s="2"/>
      <c r="M42" s="60"/>
      <c r="N42" s="60"/>
      <c r="O42" s="71"/>
      <c r="P42" s="71"/>
      <c r="Q42" s="65"/>
    </row>
    <row r="43" spans="3:17" x14ac:dyDescent="0.35">
      <c r="H43" s="12"/>
      <c r="Q43" s="65"/>
    </row>
    <row r="44" spans="3:17" x14ac:dyDescent="0.35">
      <c r="H44" s="12">
        <f>[1]Sheet1!F23-[1]Sheet1!C23</f>
        <v>0.24082899250348788</v>
      </c>
      <c r="Q44" s="65"/>
    </row>
    <row r="45" spans="3:17" ht="15.5" x14ac:dyDescent="0.35">
      <c r="C45" s="9" t="s">
        <v>5</v>
      </c>
      <c r="D45" s="10">
        <v>6820</v>
      </c>
      <c r="E45" s="11"/>
      <c r="H45" s="12"/>
      <c r="Q45" s="65"/>
    </row>
    <row r="46" spans="3:17" x14ac:dyDescent="0.35">
      <c r="C46" s="9" t="s">
        <v>7</v>
      </c>
      <c r="D46" s="10">
        <v>26.56</v>
      </c>
      <c r="E46" s="13"/>
    </row>
    <row r="47" spans="3:17" x14ac:dyDescent="0.35">
      <c r="C47" s="9" t="s">
        <v>9</v>
      </c>
      <c r="D47" s="10">
        <v>106</v>
      </c>
      <c r="E47" s="14">
        <v>107</v>
      </c>
      <c r="F47" s="1">
        <v>62.6</v>
      </c>
    </row>
    <row r="48" spans="3:17" x14ac:dyDescent="0.35">
      <c r="C48" s="9" t="s">
        <v>11</v>
      </c>
      <c r="D48" s="10">
        <v>106</v>
      </c>
      <c r="E48" s="16">
        <v>107</v>
      </c>
      <c r="F48" s="1">
        <v>62.6</v>
      </c>
    </row>
    <row r="49" spans="3:6" x14ac:dyDescent="0.35">
      <c r="C49" s="20"/>
      <c r="D49" s="20"/>
      <c r="E49" s="21"/>
      <c r="F49" s="20"/>
    </row>
    <row r="50" spans="3:6" x14ac:dyDescent="0.35">
      <c r="C50" s="24" t="s">
        <v>14</v>
      </c>
      <c r="D50" s="25">
        <v>5930</v>
      </c>
      <c r="E50" s="26" t="s">
        <v>15</v>
      </c>
      <c r="F50" s="20"/>
    </row>
    <row r="51" spans="3:6" x14ac:dyDescent="0.35">
      <c r="C51" s="24" t="s">
        <v>17</v>
      </c>
      <c r="D51" s="25">
        <v>2560</v>
      </c>
      <c r="E51" s="28" t="s">
        <v>15</v>
      </c>
      <c r="F51" s="29"/>
    </row>
  </sheetData>
  <mergeCells count="7">
    <mergeCell ref="L24:L25"/>
    <mergeCell ref="B2:C2"/>
    <mergeCell ref="L23:N23"/>
    <mergeCell ref="O23:Q23"/>
    <mergeCell ref="N24:N25"/>
    <mergeCell ref="O24:O25"/>
    <mergeCell ref="M24:M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garg</dc:creator>
  <cp:lastModifiedBy>Bal, Ishan</cp:lastModifiedBy>
  <dcterms:created xsi:type="dcterms:W3CDTF">2025-03-06T15:01:32Z</dcterms:created>
  <dcterms:modified xsi:type="dcterms:W3CDTF">2025-03-10T08:44:54Z</dcterms:modified>
</cp:coreProperties>
</file>