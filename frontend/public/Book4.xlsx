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543019\Desktop\Area_Dashboard\dummy-repo-main\public\"/>
    </mc:Choice>
  </mc:AlternateContent>
  <xr:revisionPtr revIDLastSave="0" documentId="13_ncr:1_{D755DDC2-16EB-4745-90EA-A71825DADFF4}" xr6:coauthVersionLast="36" xr6:coauthVersionMax="36" xr10:uidLastSave="{00000000-0000-0000-0000-000000000000}"/>
  <bookViews>
    <workbookView xWindow="0" yWindow="0" windowWidth="19200" windowHeight="8010" xr2:uid="{4C397D62-E4CC-478D-8FFF-082C45C660E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8" i="1" s="1"/>
  <c r="F14" i="1"/>
  <c r="G12" i="1"/>
  <c r="G11" i="1"/>
  <c r="G10" i="1"/>
  <c r="G8" i="1"/>
  <c r="F8" i="1"/>
  <c r="C8" i="1"/>
  <c r="C13" i="1" s="1"/>
  <c r="C16" i="1" s="1"/>
  <c r="C19" i="1" s="1"/>
  <c r="F4" i="1"/>
  <c r="F13" i="1" s="1"/>
  <c r="F16" i="1" s="1"/>
  <c r="G13" i="1" l="1"/>
  <c r="G14" i="1" s="1"/>
  <c r="G16" i="1" s="1"/>
  <c r="I16" i="1"/>
  <c r="I17" i="1" s="1"/>
  <c r="G17" i="1" l="1"/>
  <c r="F17" i="1"/>
  <c r="I18" i="1"/>
  <c r="G18" i="1" l="1"/>
  <c r="G19" i="1" s="1"/>
  <c r="F18" i="1"/>
  <c r="F19" i="1" s="1"/>
</calcChain>
</file>

<file path=xl/sharedStrings.xml><?xml version="1.0" encoding="utf-8"?>
<sst xmlns="http://schemas.openxmlformats.org/spreadsheetml/2006/main" count="34" uniqueCount="29">
  <si>
    <t>s</t>
  </si>
  <si>
    <t>Final Area Calculation</t>
  </si>
  <si>
    <t>ESTIMATE</t>
  </si>
  <si>
    <t>RTL0P99</t>
  </si>
  <si>
    <t>S. No</t>
  </si>
  <si>
    <t>Components</t>
  </si>
  <si>
    <t>Area (mm2)</t>
  </si>
  <si>
    <t>W</t>
  </si>
  <si>
    <t>H</t>
  </si>
  <si>
    <t>AREA mm2</t>
  </si>
  <si>
    <t>RSS (with 2.5% Subchip overhead)</t>
  </si>
  <si>
    <t>6.26mm2 in PNR</t>
  </si>
  <si>
    <t>Logical area</t>
  </si>
  <si>
    <t>memory area</t>
  </si>
  <si>
    <t>hard macro area</t>
  </si>
  <si>
    <t>RFCIO (with 2.5% overhead)</t>
  </si>
  <si>
    <t>RFCIO keepout region</t>
  </si>
  <si>
    <t>TBD</t>
  </si>
  <si>
    <t>Floorplan Overhead (2.5% of macro area)</t>
  </si>
  <si>
    <t>Top Level Buffering</t>
  </si>
  <si>
    <t>RFCIO area in IO region</t>
  </si>
  <si>
    <t>Total Core Area</t>
  </si>
  <si>
    <t>IO region Area (with core ring)</t>
  </si>
  <si>
    <t>IO region utilized for placing Core Logic</t>
  </si>
  <si>
    <t>Chip w/o Scribe</t>
  </si>
  <si>
    <t>Scribe Seal Area</t>
  </si>
  <si>
    <t>Scribe Street Area</t>
  </si>
  <si>
    <t>Final Chip Area w Scribe</t>
  </si>
  <si>
    <t>(42.62 mm2 in pd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</si>
</sst>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C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2" fontId="0" fillId="5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2" fontId="5" fillId="7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2" fontId="5" fillId="6" borderId="1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2" fontId="6" fillId="8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vertical="center"/>
    </xf>
    <xf numFmtId="1" fontId="1" fillId="9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10" borderId="1" xfId="0" applyFill="1" applyBorder="1" applyAlignment="1">
      <alignment horizontal="left" vertical="center"/>
    </xf>
    <xf numFmtId="2" fontId="1" fillId="10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2" fontId="1" fillId="11" borderId="1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2" fontId="1" fillId="12" borderId="1" xfId="0" applyNumberFormat="1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2" fontId="1" fillId="4" borderId="1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2" fontId="8" fillId="8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">
          <cell r="D5">
            <v>1.4999999999999999E-2</v>
          </cell>
        </row>
        <row r="18">
          <cell r="D18">
            <v>180</v>
          </cell>
        </row>
        <row r="19">
          <cell r="D19">
            <v>20</v>
          </cell>
        </row>
        <row r="46">
          <cell r="D46">
            <v>26.56</v>
          </cell>
        </row>
        <row r="47">
          <cell r="D47">
            <v>106</v>
          </cell>
        </row>
        <row r="48">
          <cell r="D48">
            <v>106</v>
          </cell>
        </row>
        <row r="50">
          <cell r="D50">
            <v>5930</v>
          </cell>
        </row>
        <row r="51">
          <cell r="D51">
            <v>2560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1E43-F1ED-42E2-B75A-2B1BC9B0CC7F}">
  <dimension ref="A1:J26"/>
  <sheetViews>
    <sheetView tabSelected="1" workbookViewId="0">
      <selection activeCell="D4" sqref="D4"/>
    </sheetView>
  </sheetViews>
  <sheetFormatPr defaultRowHeight="14.5" x14ac:dyDescent="0.35"/>
  <cols>
    <col min="1" max="1" width="25.6328125" bestFit="1" customWidth="1"/>
    <col min="2" max="2" width="35.7265625" bestFit="1" customWidth="1"/>
    <col min="3" max="3" width="11.6328125" bestFit="1" customWidth="1"/>
    <col min="6" max="6" width="10" bestFit="1" customWidth="1"/>
    <col min="7" max="7" width="11.6328125" bestFit="1" customWidth="1"/>
    <col min="8" max="8" width="17.6328125" bestFit="1" customWidth="1"/>
  </cols>
  <sheetData>
    <row r="1" spans="1:10" ht="19" thickBot="1" x14ac:dyDescent="0.4">
      <c r="A1" s="2" t="s">
        <v>1</v>
      </c>
      <c r="B1" s="3"/>
      <c r="C1" s="40" t="s">
        <v>2</v>
      </c>
      <c r="D1" s="40"/>
      <c r="E1" s="40"/>
      <c r="F1" s="4"/>
      <c r="G1" s="40" t="s">
        <v>3</v>
      </c>
      <c r="H1" s="40"/>
      <c r="I1" s="40"/>
      <c r="J1" s="1" t="s">
        <v>0</v>
      </c>
    </row>
    <row r="2" spans="1:10" x14ac:dyDescent="0.35">
      <c r="A2" s="34" t="s">
        <v>4</v>
      </c>
      <c r="B2" s="36" t="s">
        <v>5</v>
      </c>
      <c r="C2" s="36" t="s">
        <v>6</v>
      </c>
      <c r="D2" s="38" t="s">
        <v>7</v>
      </c>
      <c r="E2" s="38" t="s">
        <v>8</v>
      </c>
      <c r="F2" s="38" t="s">
        <v>9</v>
      </c>
      <c r="G2" s="36" t="s">
        <v>6</v>
      </c>
      <c r="H2" s="38" t="s">
        <v>7</v>
      </c>
      <c r="I2" s="38" t="s">
        <v>8</v>
      </c>
      <c r="J2" s="1"/>
    </row>
    <row r="3" spans="1:10" ht="15" thickBot="1" x14ac:dyDescent="0.4">
      <c r="A3" s="35"/>
      <c r="B3" s="36"/>
      <c r="C3" s="37"/>
      <c r="D3" s="39"/>
      <c r="E3" s="39"/>
      <c r="F3" s="38"/>
      <c r="G3" s="36"/>
      <c r="H3" s="39"/>
      <c r="I3" s="39"/>
      <c r="J3" s="1"/>
    </row>
    <row r="4" spans="1:10" x14ac:dyDescent="0.35">
      <c r="A4" s="5">
        <v>1</v>
      </c>
      <c r="B4" s="6" t="s">
        <v>10</v>
      </c>
      <c r="C4" s="7">
        <v>7.31</v>
      </c>
      <c r="D4" s="8"/>
      <c r="E4" s="8"/>
      <c r="F4" s="7">
        <f>6.26* 1.025</f>
        <v>6.4164999999999992</v>
      </c>
      <c r="G4" s="7">
        <v>9.3022602759017854</v>
      </c>
      <c r="H4" s="8" t="s">
        <v>11</v>
      </c>
      <c r="I4" s="8"/>
      <c r="J4" s="1"/>
    </row>
    <row r="5" spans="1:10" x14ac:dyDescent="0.35">
      <c r="A5" s="5">
        <v>2</v>
      </c>
      <c r="B5" s="6" t="s">
        <v>12</v>
      </c>
      <c r="C5" s="7">
        <v>3.393424357142858</v>
      </c>
      <c r="D5" s="8"/>
      <c r="E5" s="8"/>
      <c r="F5" s="7">
        <v>5.0557547500000002</v>
      </c>
      <c r="G5" s="7">
        <v>3.4538353555645163</v>
      </c>
      <c r="H5" s="8"/>
      <c r="I5" s="8"/>
      <c r="J5" s="1"/>
    </row>
    <row r="6" spans="1:10" x14ac:dyDescent="0.35">
      <c r="A6" s="5">
        <v>3</v>
      </c>
      <c r="B6" s="6" t="s">
        <v>13</v>
      </c>
      <c r="C6" s="7">
        <v>1.8359000000000003</v>
      </c>
      <c r="D6" s="8"/>
      <c r="E6" s="8"/>
      <c r="F6" s="7">
        <v>1.6037571000000002</v>
      </c>
      <c r="G6" s="7">
        <v>1.7790445497</v>
      </c>
      <c r="H6" s="8"/>
      <c r="I6" s="8"/>
      <c r="J6" s="1"/>
    </row>
    <row r="7" spans="1:10" x14ac:dyDescent="0.35">
      <c r="A7" s="5">
        <v>5</v>
      </c>
      <c r="B7" s="6" t="s">
        <v>14</v>
      </c>
      <c r="C7" s="7">
        <v>1.6107294000000001</v>
      </c>
      <c r="D7" s="8"/>
      <c r="E7" s="8"/>
      <c r="F7" s="7">
        <v>1.6783841999999998</v>
      </c>
      <c r="G7" s="7">
        <v>1.1114357646000002</v>
      </c>
      <c r="H7" s="8"/>
      <c r="I7" s="8"/>
      <c r="J7" s="1"/>
    </row>
    <row r="8" spans="1:10" x14ac:dyDescent="0.35">
      <c r="A8" s="5">
        <v>6</v>
      </c>
      <c r="B8" s="6" t="s">
        <v>15</v>
      </c>
      <c r="C8" s="9">
        <f>23.8*1.025</f>
        <v>24.395</v>
      </c>
      <c r="D8" s="8"/>
      <c r="E8" s="8"/>
      <c r="F8" s="9">
        <f>23.94*1.025</f>
        <v>24.538499999999999</v>
      </c>
      <c r="G8" s="9">
        <f>23.8*1.025</f>
        <v>24.395</v>
      </c>
      <c r="H8" s="8"/>
      <c r="I8" s="8"/>
      <c r="J8" s="1"/>
    </row>
    <row r="9" spans="1:10" x14ac:dyDescent="0.35">
      <c r="A9" s="5">
        <v>7</v>
      </c>
      <c r="B9" s="6" t="s">
        <v>16</v>
      </c>
      <c r="C9" s="10" t="s">
        <v>17</v>
      </c>
      <c r="D9" s="8"/>
      <c r="E9" s="8"/>
      <c r="F9" s="10" t="s">
        <v>17</v>
      </c>
      <c r="G9" s="10" t="s">
        <v>17</v>
      </c>
      <c r="H9" s="8"/>
      <c r="I9" s="8"/>
      <c r="J9" s="1"/>
    </row>
    <row r="10" spans="1:10" x14ac:dyDescent="0.35">
      <c r="A10" s="5">
        <v>8</v>
      </c>
      <c r="B10" s="11" t="s">
        <v>18</v>
      </c>
      <c r="C10" s="12">
        <v>0.42</v>
      </c>
      <c r="D10" s="8"/>
      <c r="E10" s="8"/>
      <c r="F10" s="12">
        <v>0.15</v>
      </c>
      <c r="G10" s="12">
        <f>0.56+0.2</f>
        <v>0.76</v>
      </c>
      <c r="H10" s="8"/>
      <c r="I10" s="8"/>
      <c r="J10" s="1"/>
    </row>
    <row r="11" spans="1:10" x14ac:dyDescent="0.35">
      <c r="A11" s="5">
        <v>9</v>
      </c>
      <c r="B11" s="13" t="s">
        <v>19</v>
      </c>
      <c r="C11" s="14">
        <v>0</v>
      </c>
      <c r="D11" s="8"/>
      <c r="E11" s="8"/>
      <c r="F11" s="14">
        <v>0</v>
      </c>
      <c r="G11" s="14">
        <f>G7*([1]Sheet1!$D$5)+0.05</f>
        <v>6.6671536469000009E-2</v>
      </c>
      <c r="H11" s="8"/>
      <c r="I11" s="8"/>
      <c r="J11" s="1"/>
    </row>
    <row r="12" spans="1:10" x14ac:dyDescent="0.35">
      <c r="A12" s="5">
        <v>10</v>
      </c>
      <c r="B12" s="13" t="s">
        <v>20</v>
      </c>
      <c r="C12" s="15">
        <v>0</v>
      </c>
      <c r="D12" s="8"/>
      <c r="E12" s="8"/>
      <c r="F12" s="15"/>
      <c r="G12" s="15">
        <f>-([1]Sheet1!$D$18+[1]Sheet1!$D$19)*([1]Sheet1!$D$50+[1]Sheet1!$D$51)/1000000</f>
        <v>-1.698</v>
      </c>
      <c r="H12" s="8"/>
      <c r="I12" s="8"/>
      <c r="J12" s="1"/>
    </row>
    <row r="13" spans="1:10" x14ac:dyDescent="0.35">
      <c r="A13" s="5">
        <v>11</v>
      </c>
      <c r="B13" s="16" t="s">
        <v>21</v>
      </c>
      <c r="C13" s="17">
        <f>SUM(C4:C12)</f>
        <v>38.965053757142861</v>
      </c>
      <c r="D13" s="18"/>
      <c r="E13" s="19"/>
      <c r="F13" s="17">
        <f>SUM(F4:F12)</f>
        <v>39.442896049999995</v>
      </c>
      <c r="G13" s="17">
        <f>SUM(G4:G12)</f>
        <v>39.170247482235297</v>
      </c>
      <c r="H13" s="18"/>
      <c r="I13" s="20"/>
      <c r="J13" s="1"/>
    </row>
    <row r="14" spans="1:10" x14ac:dyDescent="0.35">
      <c r="A14" s="5">
        <v>12</v>
      </c>
      <c r="B14" s="21" t="s">
        <v>22</v>
      </c>
      <c r="C14" s="22">
        <v>1.36</v>
      </c>
      <c r="D14" s="18"/>
      <c r="E14" s="18"/>
      <c r="F14" s="22">
        <f>(((180*4542) + (650*2*180))/1000000)*1.05</f>
        <v>1.1041380000000001</v>
      </c>
      <c r="G14" s="22">
        <f>((H14*I14)/1000000) - G13</f>
        <v>-39.170247482235297</v>
      </c>
      <c r="H14" s="18"/>
      <c r="I14" s="18"/>
      <c r="J14" s="1"/>
    </row>
    <row r="15" spans="1:10" x14ac:dyDescent="0.35">
      <c r="A15" s="5">
        <v>13</v>
      </c>
      <c r="B15" s="23" t="s">
        <v>23</v>
      </c>
      <c r="C15" s="24">
        <v>0</v>
      </c>
      <c r="D15" s="18"/>
      <c r="E15" s="18"/>
      <c r="F15" s="24"/>
      <c r="G15" s="24">
        <v>-0.8</v>
      </c>
      <c r="H15" s="18"/>
      <c r="I15" s="18"/>
      <c r="J15" s="1"/>
    </row>
    <row r="16" spans="1:10" x14ac:dyDescent="0.35">
      <c r="A16" s="5">
        <v>14</v>
      </c>
      <c r="B16" s="25" t="s">
        <v>24</v>
      </c>
      <c r="C16" s="26">
        <f>C13+C14+C15</f>
        <v>40.325053757142861</v>
      </c>
      <c r="D16" s="18"/>
      <c r="E16" s="18"/>
      <c r="F16" s="26">
        <f>F13+F14+F15</f>
        <v>40.547034049999993</v>
      </c>
      <c r="G16" s="26">
        <f>G13+G14+G15</f>
        <v>-0.8</v>
      </c>
      <c r="H16" s="27">
        <v>7250</v>
      </c>
      <c r="I16" s="18">
        <f>F16*1000000/H16</f>
        <v>5592.694351724138</v>
      </c>
      <c r="J16" s="1"/>
    </row>
    <row r="17" spans="1:10" x14ac:dyDescent="0.35">
      <c r="A17" s="5">
        <v>15</v>
      </c>
      <c r="B17" s="28" t="s">
        <v>25</v>
      </c>
      <c r="C17" s="29">
        <v>0.68</v>
      </c>
      <c r="D17" s="18"/>
      <c r="E17" s="18"/>
      <c r="F17" s="29">
        <f>((H17*I17)/1000000)-F16</f>
        <v>0.68502565836359253</v>
      </c>
      <c r="G17" s="29">
        <f>(H17*I17)/1000000 - G16</f>
        <v>42.032059708363583</v>
      </c>
      <c r="H17" s="18">
        <f>H16+ (2 * [1]Sheet1!$D$46)</f>
        <v>7303.12</v>
      </c>
      <c r="I17" s="18">
        <f>I16+ (2 * [1]Sheet1!$D$46 )</f>
        <v>5645.8143517241379</v>
      </c>
      <c r="J17" s="1"/>
    </row>
    <row r="18" spans="1:10" x14ac:dyDescent="0.35">
      <c r="A18" s="5">
        <v>16</v>
      </c>
      <c r="B18" s="28" t="s">
        <v>26</v>
      </c>
      <c r="C18" s="29">
        <v>1.37</v>
      </c>
      <c r="D18" s="18"/>
      <c r="E18" s="18"/>
      <c r="F18" s="29">
        <f>(H18*I18)/1000000-F16-F17</f>
        <v>1.3838230412827599</v>
      </c>
      <c r="G18" s="29">
        <f>(H18*I18)/1000000 -G16-G17</f>
        <v>1.3838230412827599</v>
      </c>
      <c r="H18" s="18">
        <f>H17+[1]Sheet1!$D$47</f>
        <v>7409.12</v>
      </c>
      <c r="I18" s="18">
        <f>I17+[1]Sheet1!$D$48</f>
        <v>5751.8143517241379</v>
      </c>
      <c r="J18" s="1"/>
    </row>
    <row r="19" spans="1:10" ht="15.5" x14ac:dyDescent="0.35">
      <c r="A19" s="30">
        <v>17</v>
      </c>
      <c r="B19" s="31" t="s">
        <v>27</v>
      </c>
      <c r="C19" s="32">
        <f>SUM(C16:C18)</f>
        <v>42.375053757142858</v>
      </c>
      <c r="D19" s="33"/>
      <c r="E19" s="33"/>
      <c r="F19" s="32">
        <f>SUM(F16:F18)</f>
        <v>42.615882749646346</v>
      </c>
      <c r="G19" s="32">
        <f>SUM(G16:G18)</f>
        <v>42.615882749646346</v>
      </c>
      <c r="H19" s="33" t="s">
        <v>28</v>
      </c>
      <c r="I19" s="33"/>
      <c r="J19" s="1"/>
    </row>
    <row r="20" spans="1:10" x14ac:dyDescent="0.35">
      <c r="J20" s="1"/>
    </row>
    <row r="21" spans="1:10" x14ac:dyDescent="0.35">
      <c r="J21" s="1"/>
    </row>
    <row r="22" spans="1:10" x14ac:dyDescent="0.35">
      <c r="J22" s="1"/>
    </row>
    <row r="23" spans="1:10" x14ac:dyDescent="0.35">
      <c r="J23" s="1"/>
    </row>
    <row r="24" spans="1:1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11">
    <mergeCell ref="F2:F3"/>
    <mergeCell ref="G2:G3"/>
    <mergeCell ref="H2:H3"/>
    <mergeCell ref="I2:I3"/>
    <mergeCell ref="C1:E1"/>
    <mergeCell ref="G1:I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Texas Instruments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Bal, Ishan</dc:creator>
  <cp:lastModifiedBy>Bal, Ishan</cp:lastModifiedBy>
  <dcterms:created xsi:type="dcterms:W3CDTF">2025-03-10T08:43:10Z</dcterms:created>
  <dcterms:modified xsi:type="dcterms:W3CDTF">2025-03-10T09:01:23Z</dcterms:modified>
</cp:coreProperties>
</file>